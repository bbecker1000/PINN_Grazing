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aryan_nps_gov/Documents/"/>
    </mc:Choice>
  </mc:AlternateContent>
  <xr:revisionPtr revIDLastSave="0" documentId="8_{11B00D79-FE00-45A9-873C-99C69B27C947}" xr6:coauthVersionLast="47" xr6:coauthVersionMax="47" xr10:uidLastSave="{00000000-0000-0000-0000-000000000000}"/>
  <bookViews>
    <workbookView xWindow="-23148" yWindow="-108" windowWidth="23256" windowHeight="12456" xr2:uid="{E5C11A6B-4D86-6A43-BA48-4868E951628A}"/>
  </bookViews>
  <sheets>
    <sheet name="species" sheetId="1" r:id="rId1"/>
  </sheets>
  <definedNames>
    <definedName name="_xlnm._FilterDatabase" localSheetId="0" hidden="1">species!$A$1:$I$55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F13" i="1"/>
  <c r="F36" i="1"/>
  <c r="F14" i="1"/>
  <c r="F37" i="1"/>
  <c r="F38" i="1"/>
  <c r="F15" i="1"/>
  <c r="F16" i="1"/>
  <c r="F17" i="1"/>
  <c r="F18" i="1"/>
  <c r="F19" i="1"/>
  <c r="F20" i="1"/>
  <c r="F2" i="1"/>
  <c r="F21" i="1"/>
  <c r="F39" i="1"/>
  <c r="F40" i="1"/>
  <c r="F41" i="1"/>
  <c r="F3" i="1"/>
  <c r="F4" i="1"/>
  <c r="F42" i="1"/>
  <c r="F28" i="1"/>
  <c r="F43" i="1"/>
  <c r="F44" i="1"/>
  <c r="F45" i="1"/>
  <c r="F46" i="1"/>
  <c r="F53" i="1"/>
  <c r="F5" i="1"/>
  <c r="F6" i="1"/>
  <c r="F7" i="1"/>
  <c r="F8" i="1"/>
  <c r="F54" i="1"/>
  <c r="F47" i="1"/>
  <c r="F22" i="1"/>
  <c r="F24" i="1"/>
  <c r="F23" i="1"/>
  <c r="F33" i="1"/>
  <c r="F29" i="1"/>
  <c r="F30" i="1"/>
  <c r="F34" i="1"/>
  <c r="F25" i="1"/>
  <c r="F26" i="1"/>
  <c r="F9" i="1"/>
  <c r="F48" i="1"/>
  <c r="F49" i="1"/>
  <c r="F10" i="1"/>
  <c r="F32" i="1"/>
  <c r="F55" i="1"/>
  <c r="F50" i="1"/>
  <c r="F31" i="1"/>
  <c r="F11" i="1"/>
  <c r="F51" i="1"/>
  <c r="F52" i="1"/>
  <c r="F12" i="1"/>
  <c r="F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4F072892-D321-B240-AC24-2AED5DB836B4}">
      <text>
        <r>
          <rPr>
            <sz val="11"/>
            <color rgb="FF000000"/>
            <rFont val="Calibri"/>
            <family val="2"/>
          </rPr>
          <t xml:space="preserve">Y=Native; N=Non-native; X=not applicable
</t>
        </r>
        <r>
          <rPr>
            <sz val="11"/>
            <color rgb="FF000000"/>
            <rFont val="Calibri"/>
            <family val="2"/>
          </rPr>
          <t>======</t>
        </r>
      </text>
    </comment>
    <comment ref="D1" authorId="0" shapeId="0" xr:uid="{A0D82ADF-3E7E-5E4D-9E44-8015B86F41A2}">
      <text>
        <r>
          <rPr>
            <sz val="11"/>
            <color theme="1"/>
            <rFont val="Calibri"/>
            <family val="2"/>
            <scheme val="minor"/>
          </rPr>
          <t>Y=Annual; P=Perennial; X=not applicable
======</t>
        </r>
      </text>
    </comment>
    <comment ref="E1" authorId="0" shapeId="0" xr:uid="{22CA422F-D81C-384B-8B7F-829552BF4659}">
      <text>
        <r>
          <rPr>
            <sz val="11"/>
            <color theme="1"/>
            <rFont val="Calibri"/>
            <family val="2"/>
            <scheme val="minor"/>
          </rPr>
          <t>F=Forb (Wildflower); G=Graminoid (Grass); X=Not applicable
======</t>
        </r>
      </text>
    </comment>
  </commentList>
</comments>
</file>

<file path=xl/sharedStrings.xml><?xml version="1.0" encoding="utf-8"?>
<sst xmlns="http://schemas.openxmlformats.org/spreadsheetml/2006/main" count="365" uniqueCount="138">
  <si>
    <t>Species</t>
  </si>
  <si>
    <t>Native</t>
  </si>
  <si>
    <t>Duration</t>
  </si>
  <si>
    <t>Lifeform</t>
  </si>
  <si>
    <t>ACAM</t>
  </si>
  <si>
    <t>Acmispon americanus</t>
  </si>
  <si>
    <t>Y</t>
  </si>
  <si>
    <t>A</t>
  </si>
  <si>
    <t>F</t>
  </si>
  <si>
    <t>AG</t>
  </si>
  <si>
    <t>Annual Grass</t>
  </si>
  <si>
    <t>X</t>
  </si>
  <si>
    <t>G</t>
  </si>
  <si>
    <t>AG*</t>
  </si>
  <si>
    <t>Dead Annual Grass</t>
  </si>
  <si>
    <t>N</t>
  </si>
  <si>
    <t>AMSIN</t>
  </si>
  <si>
    <t>Amsinkia sp.</t>
  </si>
  <si>
    <t>AMSIN*</t>
  </si>
  <si>
    <t>BRDI</t>
  </si>
  <si>
    <t>Bromus diandrus</t>
  </si>
  <si>
    <t>BRDI*</t>
  </si>
  <si>
    <t>Dead Bromus hordeaceus</t>
  </si>
  <si>
    <t>BRHO</t>
  </si>
  <si>
    <t>Bromus hordeaceus</t>
  </si>
  <si>
    <t>BRHO*</t>
  </si>
  <si>
    <t>BRMA</t>
  </si>
  <si>
    <t>Bromus madritensis</t>
  </si>
  <si>
    <t>BROMUS</t>
  </si>
  <si>
    <t>Bromus sp.</t>
  </si>
  <si>
    <t>BRNI</t>
  </si>
  <si>
    <t>Brassica nigra</t>
  </si>
  <si>
    <t>P</t>
  </si>
  <si>
    <t>BRNI*</t>
  </si>
  <si>
    <t>Dead Brassica nigra</t>
  </si>
  <si>
    <t>CACO</t>
  </si>
  <si>
    <t>CAEX</t>
  </si>
  <si>
    <t xml:space="preserve">Castilleja exserta </t>
  </si>
  <si>
    <t>CAME</t>
  </si>
  <si>
    <t>Calandrinia menziesii</t>
  </si>
  <si>
    <t>CEGL</t>
  </si>
  <si>
    <t>Cerastium glomeratum</t>
  </si>
  <si>
    <t>CESO</t>
  </si>
  <si>
    <t>Centuarea solstitialis</t>
  </si>
  <si>
    <t>CLPU</t>
  </si>
  <si>
    <t>Clarkia purpurea</t>
  </si>
  <si>
    <t>COAR</t>
  </si>
  <si>
    <t>Convolvulus arvensis</t>
  </si>
  <si>
    <t>CRSE</t>
  </si>
  <si>
    <t>Croton setigerus</t>
  </si>
  <si>
    <t>DELO</t>
  </si>
  <si>
    <t>Deinandra lobii</t>
  </si>
  <si>
    <t>ELTR</t>
  </si>
  <si>
    <t>Elymus triticoides</t>
  </si>
  <si>
    <t>ERBO</t>
  </si>
  <si>
    <t>Erodium botrys</t>
  </si>
  <si>
    <t>ERCI</t>
  </si>
  <si>
    <t>Erodium cicutarium</t>
  </si>
  <si>
    <t>ERCI*</t>
  </si>
  <si>
    <t>Dead Erodium cicutarium</t>
  </si>
  <si>
    <t>ERMO</t>
  </si>
  <si>
    <t>Erodium moschatum</t>
  </si>
  <si>
    <t>ESCA</t>
  </si>
  <si>
    <t>Eschscholzia californica</t>
  </si>
  <si>
    <t>EUCH</t>
  </si>
  <si>
    <t>Eucrypta chrysanthemifolia</t>
  </si>
  <si>
    <t>FEBR</t>
  </si>
  <si>
    <t>Festuca bromoides</t>
  </si>
  <si>
    <t>FEMY*</t>
  </si>
  <si>
    <t>Dead Festuca myuros</t>
  </si>
  <si>
    <t>FEMY</t>
  </si>
  <si>
    <t>Festuca myuros</t>
  </si>
  <si>
    <t>GR</t>
  </si>
  <si>
    <t>Gravel</t>
  </si>
  <si>
    <t>HIIN</t>
  </si>
  <si>
    <t>Hirschfeldia incana</t>
  </si>
  <si>
    <t>HIIN*</t>
  </si>
  <si>
    <t>Dead Hirschfeldia incana</t>
  </si>
  <si>
    <t>HL</t>
  </si>
  <si>
    <t>Herbaceous litter</t>
  </si>
  <si>
    <t>HOMU</t>
  </si>
  <si>
    <t>Hordeum murinum</t>
  </si>
  <si>
    <t>HOMU*</t>
  </si>
  <si>
    <t>Dead Hordeum murinum</t>
  </si>
  <si>
    <t>LAAM</t>
  </si>
  <si>
    <t>Lamium amplexicaule</t>
  </si>
  <si>
    <t>LAGR</t>
  </si>
  <si>
    <t>Lasthenia gracilis</t>
  </si>
  <si>
    <t>LUBI</t>
  </si>
  <si>
    <t>Lupinus bicolor</t>
  </si>
  <si>
    <t>MEPO</t>
  </si>
  <si>
    <t>Medicago polymorpha</t>
  </si>
  <si>
    <t>PEGRAS</t>
  </si>
  <si>
    <t>Perennial grass 1</t>
  </si>
  <si>
    <t>PLCA</t>
  </si>
  <si>
    <t>Plagiobothrys canescens</t>
  </si>
  <si>
    <t>RUCR</t>
  </si>
  <si>
    <t>Rumex crispus</t>
  </si>
  <si>
    <t>STME</t>
  </si>
  <si>
    <t>Stellaria media</t>
  </si>
  <si>
    <t>TRGR</t>
  </si>
  <si>
    <t>Trifolium gracilentum</t>
  </si>
  <si>
    <t>TRIFO</t>
  </si>
  <si>
    <t>Trifolium sp.</t>
  </si>
  <si>
    <t>VEPE</t>
  </si>
  <si>
    <t>Veronica persica</t>
  </si>
  <si>
    <t>Species2</t>
  </si>
  <si>
    <t>ACAM*</t>
  </si>
  <si>
    <t>AVEN</t>
  </si>
  <si>
    <t>CRSE*</t>
  </si>
  <si>
    <t>DELO*</t>
  </si>
  <si>
    <t>BG</t>
  </si>
  <si>
    <t>Dead Acmispon americanus</t>
  </si>
  <si>
    <t>ground</t>
  </si>
  <si>
    <t>dead Croton setiger</t>
  </si>
  <si>
    <t>dead Deinandra lobii</t>
  </si>
  <si>
    <t>Camissonia controrta</t>
  </si>
  <si>
    <t>Avena sp.</t>
  </si>
  <si>
    <t>FxlGrp</t>
  </si>
  <si>
    <t>Cal-IPC Rating</t>
  </si>
  <si>
    <t>NA</t>
  </si>
  <si>
    <t>Moderate</t>
  </si>
  <si>
    <t>Limited</t>
  </si>
  <si>
    <t>High</t>
  </si>
  <si>
    <t>Not listed</t>
  </si>
  <si>
    <t>lmr notes</t>
  </si>
  <si>
    <t>lmr suggested groups</t>
  </si>
  <si>
    <t>Invasive weed</t>
  </si>
  <si>
    <t>Native Forb</t>
  </si>
  <si>
    <t>Nonnative Forb</t>
  </si>
  <si>
    <t>Nonnative Grass</t>
  </si>
  <si>
    <t>Native Grass</t>
  </si>
  <si>
    <t>only perennial forb so I'd lump it in with non-native forbs</t>
  </si>
  <si>
    <t>Dead Bromus diandrus</t>
  </si>
  <si>
    <t>Acts as short-lived perennial at PINN</t>
  </si>
  <si>
    <t>This is a huge ag weed but is not considered as big of a problem in natural areas/widl lands. So, you can make the call on what you think it’s role is for this setting</t>
  </si>
  <si>
    <t>Can also be perennial due to mild winters</t>
  </si>
  <si>
    <r>
      <t xml:space="preserve">Maybe this was Elymus??  No other perennial grasses ever listed </t>
    </r>
    <r>
      <rPr>
        <i/>
        <sz val="12"/>
        <color rgb="FFFF0000"/>
        <rFont val="Calibri"/>
        <family val="2"/>
        <scheme val="minor"/>
      </rPr>
      <t>ABR Replies: no, these were either one of a couple stipa or melica or poa species. One plot had a stipa and at least one had some other species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</si>
</sst>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Docs-Calibri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Calibri"/>
      <family val="2"/>
    </font>
    <font>
      <i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left"/>
    </xf>
    <xf numFmtId="0" fontId="1" fillId="2" borderId="2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7F225-CDA5-A24E-AC47-0F3CD5128250}">
  <dimension ref="A1:I58"/>
  <sheetViews>
    <sheetView tabSelected="1" topLeftCell="A40" workbookViewId="0">
      <selection activeCell="H55" sqref="H55"/>
    </sheetView>
  </sheetViews>
  <sheetFormatPr defaultColWidth="10.69921875" defaultRowHeight="15.6"/>
  <cols>
    <col min="2" max="2" width="22.09765625" bestFit="1" customWidth="1"/>
    <col min="7" max="7" width="13.5" bestFit="1" customWidth="1"/>
    <col min="8" max="8" width="27.09765625" customWidth="1"/>
    <col min="9" max="9" width="126.69921875" bestFit="1" customWidth="1"/>
  </cols>
  <sheetData>
    <row r="1" spans="1:9">
      <c r="A1" s="1" t="s">
        <v>0</v>
      </c>
      <c r="B1" s="1" t="s">
        <v>106</v>
      </c>
      <c r="C1" s="1" t="s">
        <v>1</v>
      </c>
      <c r="D1" s="1" t="s">
        <v>2</v>
      </c>
      <c r="E1" s="1" t="s">
        <v>3</v>
      </c>
      <c r="F1" s="5" t="s">
        <v>118</v>
      </c>
      <c r="G1" s="5" t="s">
        <v>119</v>
      </c>
      <c r="H1" s="5" t="s">
        <v>126</v>
      </c>
      <c r="I1" s="5" t="s">
        <v>125</v>
      </c>
    </row>
    <row r="2" spans="1:9">
      <c r="A2" s="3" t="s">
        <v>33</v>
      </c>
      <c r="B2" s="3" t="s">
        <v>34</v>
      </c>
      <c r="C2" s="2" t="s">
        <v>15</v>
      </c>
      <c r="D2" s="6" t="s">
        <v>7</v>
      </c>
      <c r="E2" s="2" t="s">
        <v>8</v>
      </c>
      <c r="F2" t="str">
        <f t="shared" ref="F2:F33" si="0">_xlfn.CONCAT(C2:E2)</f>
        <v>NAF</v>
      </c>
      <c r="G2" s="2" t="s">
        <v>121</v>
      </c>
      <c r="H2" s="2" t="s">
        <v>127</v>
      </c>
      <c r="I2" s="2"/>
    </row>
    <row r="3" spans="1:9">
      <c r="A3" s="2" t="s">
        <v>40</v>
      </c>
      <c r="B3" s="2" t="s">
        <v>41</v>
      </c>
      <c r="C3" s="2" t="s">
        <v>15</v>
      </c>
      <c r="D3" s="2" t="s">
        <v>7</v>
      </c>
      <c r="E3" s="2" t="s">
        <v>8</v>
      </c>
      <c r="F3" t="str">
        <f t="shared" si="0"/>
        <v>NAF</v>
      </c>
      <c r="G3" s="2" t="s">
        <v>124</v>
      </c>
      <c r="H3" s="2" t="s">
        <v>129</v>
      </c>
    </row>
    <row r="4" spans="1:9">
      <c r="A4" s="2" t="s">
        <v>42</v>
      </c>
      <c r="B4" s="2" t="s">
        <v>43</v>
      </c>
      <c r="C4" s="2" t="s">
        <v>15</v>
      </c>
      <c r="D4" s="2" t="s">
        <v>7</v>
      </c>
      <c r="E4" s="2" t="s">
        <v>8</v>
      </c>
      <c r="F4" t="str">
        <f t="shared" si="0"/>
        <v>NAF</v>
      </c>
      <c r="G4" s="2" t="s">
        <v>123</v>
      </c>
      <c r="H4" s="2" t="s">
        <v>127</v>
      </c>
      <c r="I4" s="7"/>
    </row>
    <row r="5" spans="1:9">
      <c r="A5" s="2" t="s">
        <v>54</v>
      </c>
      <c r="B5" s="2" t="s">
        <v>55</v>
      </c>
      <c r="C5" s="2" t="s">
        <v>15</v>
      </c>
      <c r="D5" s="2" t="s">
        <v>7</v>
      </c>
      <c r="E5" s="2" t="s">
        <v>8</v>
      </c>
      <c r="F5" t="str">
        <f t="shared" si="0"/>
        <v>NAF</v>
      </c>
      <c r="G5" s="2" t="s">
        <v>122</v>
      </c>
      <c r="H5" s="2" t="s">
        <v>129</v>
      </c>
    </row>
    <row r="6" spans="1:9">
      <c r="A6" s="2" t="s">
        <v>56</v>
      </c>
      <c r="B6" s="2" t="s">
        <v>57</v>
      </c>
      <c r="C6" s="2" t="s">
        <v>15</v>
      </c>
      <c r="D6" s="2" t="s">
        <v>7</v>
      </c>
      <c r="E6" s="2" t="s">
        <v>8</v>
      </c>
      <c r="F6" t="str">
        <f t="shared" si="0"/>
        <v>NAF</v>
      </c>
      <c r="G6" s="2" t="s">
        <v>122</v>
      </c>
      <c r="H6" s="2" t="s">
        <v>129</v>
      </c>
    </row>
    <row r="7" spans="1:9">
      <c r="A7" s="2" t="s">
        <v>58</v>
      </c>
      <c r="B7" s="2" t="s">
        <v>59</v>
      </c>
      <c r="C7" s="2" t="s">
        <v>15</v>
      </c>
      <c r="D7" s="2" t="s">
        <v>7</v>
      </c>
      <c r="E7" s="2" t="s">
        <v>8</v>
      </c>
      <c r="F7" t="str">
        <f t="shared" si="0"/>
        <v>NAF</v>
      </c>
      <c r="G7" s="2" t="s">
        <v>122</v>
      </c>
      <c r="H7" s="2" t="s">
        <v>129</v>
      </c>
    </row>
    <row r="8" spans="1:9">
      <c r="A8" s="2" t="s">
        <v>60</v>
      </c>
      <c r="B8" s="2" t="s">
        <v>61</v>
      </c>
      <c r="C8" s="2" t="s">
        <v>15</v>
      </c>
      <c r="D8" s="2" t="s">
        <v>7</v>
      </c>
      <c r="E8" s="2" t="s">
        <v>8</v>
      </c>
      <c r="F8" t="str">
        <f t="shared" si="0"/>
        <v>NAF</v>
      </c>
      <c r="G8" s="2" t="s">
        <v>122</v>
      </c>
      <c r="H8" s="2" t="s">
        <v>129</v>
      </c>
    </row>
    <row r="9" spans="1:9">
      <c r="A9" s="2" t="s">
        <v>84</v>
      </c>
      <c r="B9" s="2" t="s">
        <v>85</v>
      </c>
      <c r="C9" s="2" t="s">
        <v>15</v>
      </c>
      <c r="D9" s="2" t="s">
        <v>7</v>
      </c>
      <c r="E9" s="2" t="s">
        <v>8</v>
      </c>
      <c r="F9" t="str">
        <f t="shared" si="0"/>
        <v>NAF</v>
      </c>
      <c r="G9" s="2" t="s">
        <v>124</v>
      </c>
      <c r="H9" s="2" t="s">
        <v>129</v>
      </c>
    </row>
    <row r="10" spans="1:9">
      <c r="A10" s="2" t="s">
        <v>90</v>
      </c>
      <c r="B10" s="2" t="s">
        <v>91</v>
      </c>
      <c r="C10" s="2" t="s">
        <v>15</v>
      </c>
      <c r="D10" s="2" t="s">
        <v>7</v>
      </c>
      <c r="E10" s="2" t="s">
        <v>8</v>
      </c>
      <c r="F10" t="str">
        <f t="shared" si="0"/>
        <v>NAF</v>
      </c>
      <c r="G10" s="2" t="s">
        <v>122</v>
      </c>
      <c r="H10" s="2" t="s">
        <v>129</v>
      </c>
      <c r="I10" s="2"/>
    </row>
    <row r="11" spans="1:9">
      <c r="A11" s="2" t="s">
        <v>98</v>
      </c>
      <c r="B11" s="2" t="s">
        <v>99</v>
      </c>
      <c r="C11" s="2" t="s">
        <v>15</v>
      </c>
      <c r="D11" s="2" t="s">
        <v>7</v>
      </c>
      <c r="E11" s="2" t="s">
        <v>8</v>
      </c>
      <c r="F11" t="str">
        <f t="shared" si="0"/>
        <v>NAF</v>
      </c>
      <c r="G11" s="2" t="s">
        <v>124</v>
      </c>
      <c r="H11" s="2" t="s">
        <v>129</v>
      </c>
    </row>
    <row r="12" spans="1:9">
      <c r="A12" s="2" t="s">
        <v>104</v>
      </c>
      <c r="B12" s="2" t="s">
        <v>105</v>
      </c>
      <c r="C12" s="2" t="s">
        <v>15</v>
      </c>
      <c r="D12" s="2" t="s">
        <v>7</v>
      </c>
      <c r="E12" s="2" t="s">
        <v>8</v>
      </c>
      <c r="F12" t="str">
        <f t="shared" si="0"/>
        <v>NAF</v>
      </c>
      <c r="G12" s="2" t="s">
        <v>124</v>
      </c>
      <c r="H12" s="2" t="s">
        <v>129</v>
      </c>
    </row>
    <row r="13" spans="1:9">
      <c r="A13" s="2" t="s">
        <v>9</v>
      </c>
      <c r="B13" s="2" t="s">
        <v>10</v>
      </c>
      <c r="C13" s="2" t="s">
        <v>15</v>
      </c>
      <c r="D13" s="2" t="s">
        <v>7</v>
      </c>
      <c r="E13" s="2" t="s">
        <v>12</v>
      </c>
      <c r="F13" t="str">
        <f t="shared" si="0"/>
        <v>NAG</v>
      </c>
      <c r="G13" s="2" t="s">
        <v>120</v>
      </c>
      <c r="H13" s="2" t="s">
        <v>130</v>
      </c>
    </row>
    <row r="14" spans="1:9">
      <c r="A14" s="2" t="s">
        <v>13</v>
      </c>
      <c r="B14" s="2" t="s">
        <v>14</v>
      </c>
      <c r="C14" s="2" t="s">
        <v>15</v>
      </c>
      <c r="D14" s="2" t="s">
        <v>7</v>
      </c>
      <c r="E14" s="2" t="s">
        <v>12</v>
      </c>
      <c r="F14" t="str">
        <f t="shared" si="0"/>
        <v>NAG</v>
      </c>
      <c r="G14" s="2" t="s">
        <v>120</v>
      </c>
      <c r="H14" s="2" t="s">
        <v>130</v>
      </c>
    </row>
    <row r="15" spans="1:9">
      <c r="A15" t="s">
        <v>108</v>
      </c>
      <c r="B15" s="2" t="s">
        <v>117</v>
      </c>
      <c r="C15" s="2" t="s">
        <v>15</v>
      </c>
      <c r="D15" s="2" t="s">
        <v>7</v>
      </c>
      <c r="E15" s="2" t="s">
        <v>12</v>
      </c>
      <c r="F15" t="str">
        <f t="shared" si="0"/>
        <v>NAG</v>
      </c>
      <c r="G15" s="2" t="s">
        <v>121</v>
      </c>
      <c r="H15" s="2" t="s">
        <v>130</v>
      </c>
      <c r="I15" s="2"/>
    </row>
    <row r="16" spans="1:9">
      <c r="A16" s="2" t="s">
        <v>19</v>
      </c>
      <c r="B16" s="2" t="s">
        <v>20</v>
      </c>
      <c r="C16" s="2" t="s">
        <v>15</v>
      </c>
      <c r="D16" s="2" t="s">
        <v>7</v>
      </c>
      <c r="E16" s="2" t="s">
        <v>12</v>
      </c>
      <c r="F16" t="str">
        <f t="shared" si="0"/>
        <v>NAG</v>
      </c>
      <c r="G16" s="2" t="s">
        <v>121</v>
      </c>
      <c r="H16" s="2" t="s">
        <v>127</v>
      </c>
      <c r="I16" s="2"/>
    </row>
    <row r="17" spans="1:9">
      <c r="A17" s="2" t="s">
        <v>21</v>
      </c>
      <c r="B17" s="2" t="s">
        <v>133</v>
      </c>
      <c r="C17" s="2" t="s">
        <v>15</v>
      </c>
      <c r="D17" s="2" t="s">
        <v>7</v>
      </c>
      <c r="E17" s="2" t="s">
        <v>12</v>
      </c>
      <c r="F17" t="str">
        <f t="shared" si="0"/>
        <v>NAG</v>
      </c>
      <c r="G17" s="2" t="s">
        <v>121</v>
      </c>
      <c r="H17" s="2" t="s">
        <v>127</v>
      </c>
      <c r="I17" s="2"/>
    </row>
    <row r="18" spans="1:9">
      <c r="A18" s="2" t="s">
        <v>23</v>
      </c>
      <c r="B18" s="2" t="s">
        <v>24</v>
      </c>
      <c r="C18" s="2" t="s">
        <v>15</v>
      </c>
      <c r="D18" s="2" t="s">
        <v>7</v>
      </c>
      <c r="E18" s="2" t="s">
        <v>12</v>
      </c>
      <c r="F18" t="str">
        <f t="shared" si="0"/>
        <v>NAG</v>
      </c>
      <c r="G18" s="2" t="s">
        <v>122</v>
      </c>
      <c r="H18" s="2" t="s">
        <v>130</v>
      </c>
    </row>
    <row r="19" spans="1:9">
      <c r="A19" s="2" t="s">
        <v>25</v>
      </c>
      <c r="B19" s="2" t="s">
        <v>22</v>
      </c>
      <c r="C19" s="2" t="s">
        <v>15</v>
      </c>
      <c r="D19" s="2" t="s">
        <v>7</v>
      </c>
      <c r="E19" s="2" t="s">
        <v>12</v>
      </c>
      <c r="F19" t="str">
        <f t="shared" si="0"/>
        <v>NAG</v>
      </c>
      <c r="G19" s="2" t="s">
        <v>122</v>
      </c>
      <c r="H19" s="2" t="s">
        <v>130</v>
      </c>
    </row>
    <row r="20" spans="1:9">
      <c r="A20" s="2" t="s">
        <v>26</v>
      </c>
      <c r="B20" s="2" t="s">
        <v>27</v>
      </c>
      <c r="C20" s="2" t="s">
        <v>15</v>
      </c>
      <c r="D20" s="2" t="s">
        <v>7</v>
      </c>
      <c r="E20" s="2" t="s">
        <v>12</v>
      </c>
      <c r="F20" t="str">
        <f t="shared" si="0"/>
        <v>NAG</v>
      </c>
      <c r="G20" s="2" t="s">
        <v>123</v>
      </c>
      <c r="H20" s="2" t="s">
        <v>127</v>
      </c>
      <c r="I20" s="2"/>
    </row>
    <row r="21" spans="1:9">
      <c r="A21" s="2" t="s">
        <v>28</v>
      </c>
      <c r="B21" s="2" t="s">
        <v>29</v>
      </c>
      <c r="C21" s="2" t="s">
        <v>15</v>
      </c>
      <c r="D21" s="2" t="s">
        <v>7</v>
      </c>
      <c r="E21" s="2" t="s">
        <v>12</v>
      </c>
      <c r="F21" t="str">
        <f t="shared" si="0"/>
        <v>NAG</v>
      </c>
      <c r="G21" s="2" t="s">
        <v>120</v>
      </c>
      <c r="H21" s="2" t="s">
        <v>130</v>
      </c>
    </row>
    <row r="22" spans="1:9">
      <c r="A22" s="2" t="s">
        <v>66</v>
      </c>
      <c r="B22" s="2" t="s">
        <v>67</v>
      </c>
      <c r="C22" s="2" t="s">
        <v>15</v>
      </c>
      <c r="D22" s="2" t="s">
        <v>7</v>
      </c>
      <c r="E22" s="2" t="s">
        <v>12</v>
      </c>
      <c r="F22" t="str">
        <f t="shared" si="0"/>
        <v>NAG</v>
      </c>
      <c r="G22" s="2" t="s">
        <v>121</v>
      </c>
      <c r="H22" s="2" t="s">
        <v>130</v>
      </c>
    </row>
    <row r="23" spans="1:9">
      <c r="A23" s="2" t="s">
        <v>70</v>
      </c>
      <c r="B23" s="2" t="s">
        <v>71</v>
      </c>
      <c r="C23" s="2" t="s">
        <v>15</v>
      </c>
      <c r="D23" s="2" t="s">
        <v>7</v>
      </c>
      <c r="E23" s="2" t="s">
        <v>12</v>
      </c>
      <c r="F23" t="str">
        <f t="shared" si="0"/>
        <v>NAG</v>
      </c>
      <c r="G23" s="2" t="s">
        <v>121</v>
      </c>
      <c r="H23" s="2" t="s">
        <v>130</v>
      </c>
      <c r="I23" s="2"/>
    </row>
    <row r="24" spans="1:9">
      <c r="A24" s="2" t="s">
        <v>68</v>
      </c>
      <c r="B24" s="2" t="s">
        <v>69</v>
      </c>
      <c r="C24" s="2" t="s">
        <v>15</v>
      </c>
      <c r="D24" s="2" t="s">
        <v>7</v>
      </c>
      <c r="E24" s="2" t="s">
        <v>12</v>
      </c>
      <c r="F24" t="str">
        <f t="shared" si="0"/>
        <v>NAG</v>
      </c>
      <c r="G24" s="2" t="s">
        <v>121</v>
      </c>
      <c r="H24" s="2" t="s">
        <v>130</v>
      </c>
      <c r="I24" s="2"/>
    </row>
    <row r="25" spans="1:9">
      <c r="A25" s="2" t="s">
        <v>80</v>
      </c>
      <c r="B25" s="2" t="s">
        <v>81</v>
      </c>
      <c r="C25" s="2" t="s">
        <v>15</v>
      </c>
      <c r="D25" s="2" t="s">
        <v>7</v>
      </c>
      <c r="E25" s="2" t="s">
        <v>12</v>
      </c>
      <c r="F25" t="str">
        <f t="shared" si="0"/>
        <v>NAG</v>
      </c>
      <c r="G25" s="2" t="s">
        <v>121</v>
      </c>
      <c r="H25" s="2" t="s">
        <v>127</v>
      </c>
      <c r="I25" s="2"/>
    </row>
    <row r="26" spans="1:9">
      <c r="A26" s="2" t="s">
        <v>82</v>
      </c>
      <c r="B26" s="2" t="s">
        <v>83</v>
      </c>
      <c r="C26" s="2" t="s">
        <v>15</v>
      </c>
      <c r="D26" s="2" t="s">
        <v>7</v>
      </c>
      <c r="E26" s="2" t="s">
        <v>12</v>
      </c>
      <c r="F26" t="str">
        <f t="shared" si="0"/>
        <v>NAG</v>
      </c>
      <c r="G26" s="2" t="s">
        <v>121</v>
      </c>
      <c r="H26" s="2" t="s">
        <v>127</v>
      </c>
      <c r="I26" s="2"/>
    </row>
    <row r="27" spans="1:9">
      <c r="A27" s="3" t="s">
        <v>30</v>
      </c>
      <c r="B27" s="3" t="s">
        <v>31</v>
      </c>
      <c r="C27" s="2" t="s">
        <v>15</v>
      </c>
      <c r="D27" s="2" t="s">
        <v>7</v>
      </c>
      <c r="E27" s="2" t="s">
        <v>8</v>
      </c>
      <c r="F27" t="str">
        <f t="shared" si="0"/>
        <v>NAF</v>
      </c>
      <c r="G27" s="2" t="s">
        <v>121</v>
      </c>
      <c r="H27" s="2" t="s">
        <v>127</v>
      </c>
      <c r="I27" s="7" t="s">
        <v>136</v>
      </c>
    </row>
    <row r="28" spans="1:9">
      <c r="A28" s="2" t="s">
        <v>46</v>
      </c>
      <c r="B28" s="2" t="s">
        <v>47</v>
      </c>
      <c r="C28" s="2" t="s">
        <v>15</v>
      </c>
      <c r="D28" s="2" t="s">
        <v>32</v>
      </c>
      <c r="E28" s="2" t="s">
        <v>8</v>
      </c>
      <c r="F28" t="str">
        <f t="shared" si="0"/>
        <v>NPF</v>
      </c>
      <c r="G28" s="2" t="s">
        <v>124</v>
      </c>
      <c r="H28" s="2" t="s">
        <v>127</v>
      </c>
      <c r="I28" s="7" t="s">
        <v>135</v>
      </c>
    </row>
    <row r="29" spans="1:9">
      <c r="A29" s="2" t="s">
        <v>74</v>
      </c>
      <c r="B29" s="2" t="s">
        <v>75</v>
      </c>
      <c r="C29" s="2" t="s">
        <v>15</v>
      </c>
      <c r="D29" s="2" t="s">
        <v>32</v>
      </c>
      <c r="E29" s="2" t="s">
        <v>8</v>
      </c>
      <c r="F29" t="str">
        <f t="shared" si="0"/>
        <v>NPF</v>
      </c>
      <c r="G29" s="2" t="s">
        <v>121</v>
      </c>
      <c r="H29" s="2" t="s">
        <v>127</v>
      </c>
      <c r="I29" s="2"/>
    </row>
    <row r="30" spans="1:9">
      <c r="A30" s="2" t="s">
        <v>76</v>
      </c>
      <c r="B30" s="2" t="s">
        <v>77</v>
      </c>
      <c r="C30" s="2" t="s">
        <v>15</v>
      </c>
      <c r="D30" s="2" t="s">
        <v>32</v>
      </c>
      <c r="E30" s="2" t="s">
        <v>8</v>
      </c>
      <c r="F30" t="str">
        <f t="shared" si="0"/>
        <v>NPF</v>
      </c>
      <c r="G30" s="2" t="s">
        <v>121</v>
      </c>
      <c r="H30" s="2" t="s">
        <v>127</v>
      </c>
      <c r="I30" s="2"/>
    </row>
    <row r="31" spans="1:9">
      <c r="A31" s="3" t="s">
        <v>96</v>
      </c>
      <c r="B31" s="3" t="s">
        <v>97</v>
      </c>
      <c r="C31" s="2" t="s">
        <v>15</v>
      </c>
      <c r="D31" s="2" t="s">
        <v>32</v>
      </c>
      <c r="E31" s="2" t="s">
        <v>8</v>
      </c>
      <c r="F31" t="str">
        <f t="shared" si="0"/>
        <v>NPF</v>
      </c>
      <c r="G31" s="2" t="s">
        <v>122</v>
      </c>
      <c r="H31" s="2" t="s">
        <v>129</v>
      </c>
      <c r="I31" s="7" t="s">
        <v>132</v>
      </c>
    </row>
    <row r="32" spans="1:9">
      <c r="A32" s="2" t="s">
        <v>111</v>
      </c>
      <c r="B32" s="2" t="s">
        <v>113</v>
      </c>
      <c r="C32" s="2" t="s">
        <v>11</v>
      </c>
      <c r="D32" s="2" t="s">
        <v>11</v>
      </c>
      <c r="E32" s="2" t="s">
        <v>11</v>
      </c>
      <c r="F32" t="str">
        <f t="shared" si="0"/>
        <v>XXX</v>
      </c>
    </row>
    <row r="33" spans="1:8">
      <c r="A33" s="2" t="s">
        <v>72</v>
      </c>
      <c r="B33" s="2" t="s">
        <v>73</v>
      </c>
      <c r="C33" s="2" t="s">
        <v>11</v>
      </c>
      <c r="D33" s="2" t="s">
        <v>11</v>
      </c>
      <c r="E33" s="2" t="s">
        <v>11</v>
      </c>
      <c r="F33" t="str">
        <f t="shared" si="0"/>
        <v>XXX</v>
      </c>
    </row>
    <row r="34" spans="1:8">
      <c r="A34" s="2" t="s">
        <v>78</v>
      </c>
      <c r="B34" s="2" t="s">
        <v>79</v>
      </c>
      <c r="C34" s="2" t="s">
        <v>11</v>
      </c>
      <c r="D34" s="2" t="s">
        <v>11</v>
      </c>
      <c r="E34" s="2" t="s">
        <v>11</v>
      </c>
      <c r="F34" t="str">
        <f t="shared" ref="F34:F55" si="1">_xlfn.CONCAT(C34:E34)</f>
        <v>XXX</v>
      </c>
    </row>
    <row r="35" spans="1:8">
      <c r="A35" s="2" t="s">
        <v>4</v>
      </c>
      <c r="B35" s="2" t="s">
        <v>5</v>
      </c>
      <c r="C35" s="2" t="s">
        <v>6</v>
      </c>
      <c r="D35" s="2" t="s">
        <v>7</v>
      </c>
      <c r="E35" s="2" t="s">
        <v>8</v>
      </c>
      <c r="F35" t="str">
        <f t="shared" si="1"/>
        <v>YAF</v>
      </c>
      <c r="G35" s="2"/>
      <c r="H35" s="2" t="s">
        <v>128</v>
      </c>
    </row>
    <row r="36" spans="1:8">
      <c r="A36" t="s">
        <v>107</v>
      </c>
      <c r="B36" s="2" t="s">
        <v>112</v>
      </c>
      <c r="C36" t="s">
        <v>6</v>
      </c>
      <c r="D36" t="s">
        <v>7</v>
      </c>
      <c r="E36" t="s">
        <v>8</v>
      </c>
      <c r="F36" t="str">
        <f t="shared" si="1"/>
        <v>YAF</v>
      </c>
      <c r="H36" s="2" t="s">
        <v>128</v>
      </c>
    </row>
    <row r="37" spans="1:8">
      <c r="A37" s="2" t="s">
        <v>16</v>
      </c>
      <c r="B37" s="2" t="s">
        <v>17</v>
      </c>
      <c r="C37" s="2" t="s">
        <v>6</v>
      </c>
      <c r="D37" s="2" t="s">
        <v>7</v>
      </c>
      <c r="E37" s="2" t="s">
        <v>8</v>
      </c>
      <c r="F37" t="str">
        <f t="shared" si="1"/>
        <v>YAF</v>
      </c>
      <c r="G37" s="2"/>
      <c r="H37" s="2" t="s">
        <v>128</v>
      </c>
    </row>
    <row r="38" spans="1:8">
      <c r="A38" s="2" t="s">
        <v>18</v>
      </c>
      <c r="B38" s="2" t="s">
        <v>17</v>
      </c>
      <c r="C38" s="2" t="s">
        <v>6</v>
      </c>
      <c r="D38" s="2" t="s">
        <v>7</v>
      </c>
      <c r="E38" s="2" t="s">
        <v>8</v>
      </c>
      <c r="F38" t="str">
        <f t="shared" si="1"/>
        <v>YAF</v>
      </c>
      <c r="G38" s="2"/>
      <c r="H38" s="2" t="s">
        <v>128</v>
      </c>
    </row>
    <row r="39" spans="1:8">
      <c r="A39" s="2" t="s">
        <v>35</v>
      </c>
      <c r="B39" s="2" t="s">
        <v>116</v>
      </c>
      <c r="C39" s="2" t="s">
        <v>6</v>
      </c>
      <c r="D39" s="2" t="s">
        <v>7</v>
      </c>
      <c r="E39" s="2" t="s">
        <v>8</v>
      </c>
      <c r="F39" t="str">
        <f t="shared" si="1"/>
        <v>YAF</v>
      </c>
      <c r="H39" s="2" t="s">
        <v>128</v>
      </c>
    </row>
    <row r="40" spans="1:8">
      <c r="A40" s="2" t="s">
        <v>36</v>
      </c>
      <c r="B40" s="2" t="s">
        <v>37</v>
      </c>
      <c r="C40" s="2" t="s">
        <v>6</v>
      </c>
      <c r="D40" s="2" t="s">
        <v>7</v>
      </c>
      <c r="E40" s="2" t="s">
        <v>8</v>
      </c>
      <c r="F40" t="str">
        <f t="shared" si="1"/>
        <v>YAF</v>
      </c>
      <c r="H40" s="2" t="s">
        <v>128</v>
      </c>
    </row>
    <row r="41" spans="1:8">
      <c r="A41" s="2" t="s">
        <v>38</v>
      </c>
      <c r="B41" s="2" t="s">
        <v>39</v>
      </c>
      <c r="C41" s="2" t="s">
        <v>6</v>
      </c>
      <c r="D41" s="2" t="s">
        <v>7</v>
      </c>
      <c r="E41" s="2" t="s">
        <v>8</v>
      </c>
      <c r="F41" t="str">
        <f t="shared" si="1"/>
        <v>YAF</v>
      </c>
      <c r="H41" s="2" t="s">
        <v>128</v>
      </c>
    </row>
    <row r="42" spans="1:8">
      <c r="A42" s="2" t="s">
        <v>44</v>
      </c>
      <c r="B42" s="4" t="s">
        <v>45</v>
      </c>
      <c r="C42" s="2" t="s">
        <v>6</v>
      </c>
      <c r="D42" s="2" t="s">
        <v>7</v>
      </c>
      <c r="E42" s="2" t="s">
        <v>8</v>
      </c>
      <c r="F42" t="str">
        <f t="shared" si="1"/>
        <v>YAF</v>
      </c>
      <c r="H42" s="2" t="s">
        <v>128</v>
      </c>
    </row>
    <row r="43" spans="1:8">
      <c r="A43" s="2" t="s">
        <v>48</v>
      </c>
      <c r="B43" s="2" t="s">
        <v>49</v>
      </c>
      <c r="C43" s="2" t="s">
        <v>6</v>
      </c>
      <c r="D43" s="2" t="s">
        <v>7</v>
      </c>
      <c r="E43" s="2" t="s">
        <v>8</v>
      </c>
      <c r="F43" t="str">
        <f t="shared" si="1"/>
        <v>YAF</v>
      </c>
      <c r="H43" s="2" t="s">
        <v>128</v>
      </c>
    </row>
    <row r="44" spans="1:8">
      <c r="A44" t="s">
        <v>109</v>
      </c>
      <c r="B44" s="2" t="s">
        <v>114</v>
      </c>
      <c r="C44" s="2" t="s">
        <v>6</v>
      </c>
      <c r="D44" s="2" t="s">
        <v>7</v>
      </c>
      <c r="E44" s="2" t="s">
        <v>8</v>
      </c>
      <c r="F44" t="str">
        <f t="shared" si="1"/>
        <v>YAF</v>
      </c>
      <c r="H44" s="2" t="s">
        <v>128</v>
      </c>
    </row>
    <row r="45" spans="1:8">
      <c r="A45" s="2" t="s">
        <v>50</v>
      </c>
      <c r="B45" s="2" t="s">
        <v>51</v>
      </c>
      <c r="C45" s="2" t="s">
        <v>6</v>
      </c>
      <c r="D45" s="2" t="s">
        <v>7</v>
      </c>
      <c r="E45" s="2" t="s">
        <v>8</v>
      </c>
      <c r="F45" t="str">
        <f t="shared" si="1"/>
        <v>YAF</v>
      </c>
      <c r="H45" s="2" t="s">
        <v>128</v>
      </c>
    </row>
    <row r="46" spans="1:8">
      <c r="A46" t="s">
        <v>110</v>
      </c>
      <c r="B46" s="2" t="s">
        <v>115</v>
      </c>
      <c r="C46" s="2" t="s">
        <v>6</v>
      </c>
      <c r="D46" s="2" t="s">
        <v>7</v>
      </c>
      <c r="E46" s="2" t="s">
        <v>8</v>
      </c>
      <c r="F46" t="str">
        <f t="shared" si="1"/>
        <v>YAF</v>
      </c>
      <c r="H46" s="2" t="s">
        <v>128</v>
      </c>
    </row>
    <row r="47" spans="1:8">
      <c r="A47" s="2" t="s">
        <v>64</v>
      </c>
      <c r="B47" s="2" t="s">
        <v>65</v>
      </c>
      <c r="C47" s="2" t="s">
        <v>6</v>
      </c>
      <c r="D47" s="2" t="s">
        <v>7</v>
      </c>
      <c r="E47" s="2" t="s">
        <v>8</v>
      </c>
      <c r="F47" t="str">
        <f t="shared" si="1"/>
        <v>YAF</v>
      </c>
      <c r="H47" s="2" t="s">
        <v>128</v>
      </c>
    </row>
    <row r="48" spans="1:8">
      <c r="A48" s="2" t="s">
        <v>86</v>
      </c>
      <c r="B48" s="2" t="s">
        <v>87</v>
      </c>
      <c r="C48" s="2" t="s">
        <v>6</v>
      </c>
      <c r="D48" s="2" t="s">
        <v>7</v>
      </c>
      <c r="E48" s="2" t="s">
        <v>8</v>
      </c>
      <c r="F48" t="str">
        <f t="shared" si="1"/>
        <v>YAF</v>
      </c>
      <c r="H48" s="2" t="s">
        <v>128</v>
      </c>
    </row>
    <row r="49" spans="1:9">
      <c r="A49" s="2" t="s">
        <v>88</v>
      </c>
      <c r="B49" s="2" t="s">
        <v>89</v>
      </c>
      <c r="C49" s="2" t="s">
        <v>6</v>
      </c>
      <c r="D49" s="2" t="s">
        <v>7</v>
      </c>
      <c r="E49" s="2" t="s">
        <v>8</v>
      </c>
      <c r="F49" t="str">
        <f t="shared" si="1"/>
        <v>YAF</v>
      </c>
      <c r="H49" s="2" t="s">
        <v>128</v>
      </c>
    </row>
    <row r="50" spans="1:9">
      <c r="A50" s="2" t="s">
        <v>94</v>
      </c>
      <c r="B50" s="2" t="s">
        <v>95</v>
      </c>
      <c r="C50" s="2" t="s">
        <v>6</v>
      </c>
      <c r="D50" s="2" t="s">
        <v>7</v>
      </c>
      <c r="E50" s="2" t="s">
        <v>8</v>
      </c>
      <c r="F50" t="str">
        <f t="shared" si="1"/>
        <v>YAF</v>
      </c>
      <c r="H50" s="2" t="s">
        <v>128</v>
      </c>
    </row>
    <row r="51" spans="1:9">
      <c r="A51" s="3" t="s">
        <v>100</v>
      </c>
      <c r="B51" s="3" t="s">
        <v>101</v>
      </c>
      <c r="C51" s="2" t="s">
        <v>6</v>
      </c>
      <c r="D51" s="2" t="s">
        <v>7</v>
      </c>
      <c r="E51" s="2" t="s">
        <v>8</v>
      </c>
      <c r="F51" t="str">
        <f t="shared" si="1"/>
        <v>YAF</v>
      </c>
      <c r="H51" s="2" t="s">
        <v>128</v>
      </c>
    </row>
    <row r="52" spans="1:9">
      <c r="A52" s="3" t="s">
        <v>102</v>
      </c>
      <c r="B52" s="3" t="s">
        <v>103</v>
      </c>
      <c r="C52" s="2" t="s">
        <v>6</v>
      </c>
      <c r="D52" s="2" t="s">
        <v>7</v>
      </c>
      <c r="E52" s="2" t="s">
        <v>8</v>
      </c>
      <c r="F52" t="str">
        <f t="shared" si="1"/>
        <v>YAF</v>
      </c>
      <c r="H52" s="2" t="s">
        <v>128</v>
      </c>
    </row>
    <row r="53" spans="1:9">
      <c r="A53" s="3" t="s">
        <v>52</v>
      </c>
      <c r="B53" s="3" t="s">
        <v>53</v>
      </c>
      <c r="C53" s="2" t="s">
        <v>6</v>
      </c>
      <c r="D53" s="2" t="s">
        <v>32</v>
      </c>
      <c r="E53" s="2" t="s">
        <v>12</v>
      </c>
      <c r="F53" t="str">
        <f t="shared" si="1"/>
        <v>YPG</v>
      </c>
      <c r="H53" s="2" t="s">
        <v>131</v>
      </c>
    </row>
    <row r="54" spans="1:9">
      <c r="A54" s="2" t="s">
        <v>62</v>
      </c>
      <c r="B54" s="2" t="s">
        <v>63</v>
      </c>
      <c r="C54" s="2" t="s">
        <v>6</v>
      </c>
      <c r="D54" s="6" t="s">
        <v>32</v>
      </c>
      <c r="E54" s="6" t="s">
        <v>8</v>
      </c>
      <c r="F54" s="9" t="str">
        <f t="shared" si="1"/>
        <v>YPF</v>
      </c>
      <c r="H54" s="2" t="s">
        <v>128</v>
      </c>
      <c r="I54" t="s">
        <v>134</v>
      </c>
    </row>
    <row r="55" spans="1:9">
      <c r="A55" s="2" t="s">
        <v>92</v>
      </c>
      <c r="B55" s="2" t="s">
        <v>93</v>
      </c>
      <c r="C55" s="2" t="s">
        <v>6</v>
      </c>
      <c r="D55" s="2" t="s">
        <v>32</v>
      </c>
      <c r="E55" s="2" t="s">
        <v>12</v>
      </c>
      <c r="F55" t="str">
        <f t="shared" si="1"/>
        <v>YPG</v>
      </c>
      <c r="H55" s="10" t="s">
        <v>131</v>
      </c>
      <c r="I55" s="8" t="s">
        <v>137</v>
      </c>
    </row>
    <row r="56" spans="1:9">
      <c r="A56" s="3"/>
      <c r="B56" s="3"/>
      <c r="C56" s="3"/>
      <c r="D56" s="3"/>
      <c r="E56" s="3"/>
    </row>
    <row r="57" spans="1:9">
      <c r="A57" s="2"/>
      <c r="B57" s="2"/>
      <c r="C57" s="2"/>
      <c r="D57" s="2"/>
      <c r="E57" s="2"/>
    </row>
    <row r="58" spans="1:9">
      <c r="A58" s="2"/>
      <c r="B58" s="2"/>
      <c r="C58" s="2"/>
      <c r="D58" s="2"/>
      <c r="E58" s="2"/>
    </row>
  </sheetData>
  <autoFilter ref="A1:I55" xr:uid="{C067F225-CDA5-A24E-AC47-0F3CD5128250}">
    <sortState xmlns:xlrd2="http://schemas.microsoft.com/office/spreadsheetml/2017/richdata2" ref="A2:I55">
      <sortCondition ref="D1:D55"/>
    </sortState>
  </autoFilter>
  <sortState xmlns:xlrd2="http://schemas.microsoft.com/office/spreadsheetml/2017/richdata2" ref="A2:I58">
    <sortCondition ref="C2:C58"/>
    <sortCondition ref="D2:D58"/>
    <sortCondition ref="E2:E58"/>
  </sortState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Nuri Flores</dc:creator>
  <cp:lastModifiedBy>Ryan, Amelia B</cp:lastModifiedBy>
  <dcterms:created xsi:type="dcterms:W3CDTF">2023-07-04T02:59:38Z</dcterms:created>
  <dcterms:modified xsi:type="dcterms:W3CDTF">2026-02-25T19:59:44Z</dcterms:modified>
</cp:coreProperties>
</file>